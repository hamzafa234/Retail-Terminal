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amzafahad/Desktop/csc299-project-main/"/>
    </mc:Choice>
  </mc:AlternateContent>
  <xr:revisionPtr revIDLastSave="0" documentId="13_ncr:1_{498C30F3-DF31-094A-B285-3E219E35F9C7}" xr6:coauthVersionLast="47" xr6:coauthVersionMax="47" xr10:uidLastSave="{00000000-0000-0000-0000-000000000000}"/>
  <bookViews>
    <workbookView xWindow="0" yWindow="760" windowWidth="30240" windowHeight="17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P12" i="1"/>
  <c r="O12" i="1"/>
  <c r="N12" i="1"/>
  <c r="M12" i="1"/>
  <c r="C27" i="1"/>
  <c r="M10" i="1"/>
  <c r="N10" i="1" s="1"/>
  <c r="O10" i="1" s="1"/>
  <c r="P10" i="1" s="1"/>
  <c r="Q10" i="1" s="1"/>
  <c r="D10" i="1" l="1"/>
  <c r="E10" i="1" s="1"/>
  <c r="F10" i="1" s="1"/>
  <c r="G10" i="1" s="1"/>
  <c r="H10" i="1" s="1"/>
  <c r="D16" i="1"/>
  <c r="E16" i="1" s="1"/>
  <c r="F16" i="1" s="1"/>
  <c r="G16" i="1" s="1"/>
  <c r="M4" i="1"/>
  <c r="N4" i="1" s="1"/>
  <c r="O4" i="1" s="1"/>
  <c r="P4" i="1" s="1"/>
  <c r="Q4" i="1" s="1"/>
  <c r="M6" i="1"/>
  <c r="N6" i="1" s="1"/>
  <c r="O6" i="1" s="1"/>
  <c r="P6" i="1" s="1"/>
  <c r="Q6" i="1" s="1"/>
  <c r="C6" i="1"/>
  <c r="C8" i="1" s="1"/>
  <c r="D4" i="1"/>
  <c r="E4" i="1" s="1"/>
  <c r="F4" i="1" s="1"/>
  <c r="G4" i="1" s="1"/>
  <c r="H4" i="1" s="1"/>
  <c r="D2" i="1"/>
  <c r="D6" i="1" l="1"/>
  <c r="D12" i="1" s="1"/>
  <c r="C12" i="1"/>
  <c r="C14" i="1" s="1"/>
  <c r="E2" i="1"/>
  <c r="F2" i="1" s="1"/>
  <c r="G2" i="1" s="1"/>
  <c r="D8" i="1" l="1"/>
  <c r="C19" i="1"/>
  <c r="E6" i="1"/>
  <c r="E8" i="1" s="1"/>
  <c r="F6" i="1"/>
  <c r="F12" i="1" s="1"/>
  <c r="G6" i="1"/>
  <c r="H2" i="1"/>
  <c r="H6" i="1" s="1"/>
  <c r="E12" i="1"/>
  <c r="D14" i="1"/>
  <c r="D19" i="1"/>
  <c r="F8" i="1" l="1"/>
  <c r="C23" i="1"/>
  <c r="L2" i="1" s="1"/>
  <c r="L8" i="1" s="1"/>
  <c r="F14" i="1"/>
  <c r="F19" i="1"/>
  <c r="H12" i="1"/>
  <c r="H8" i="1"/>
  <c r="E14" i="1"/>
  <c r="E19" i="1"/>
  <c r="G8" i="1"/>
  <c r="G12" i="1"/>
  <c r="G14" i="1" l="1"/>
  <c r="G19" i="1"/>
  <c r="H14" i="1"/>
  <c r="H19" i="1"/>
  <c r="F21" i="1"/>
  <c r="F23" i="1" s="1"/>
  <c r="E21" i="1"/>
  <c r="E23" i="1" s="1"/>
  <c r="O2" i="1" l="1"/>
  <c r="O8" i="1" s="1"/>
  <c r="F27" i="1"/>
  <c r="E27" i="1"/>
  <c r="N2" i="1"/>
  <c r="N8" i="1" s="1"/>
  <c r="H21" i="1"/>
  <c r="H23" i="1" s="1"/>
  <c r="G21" i="1"/>
  <c r="G23" i="1" s="1"/>
  <c r="G27" i="1" l="1"/>
  <c r="P2" i="1"/>
  <c r="P8" i="1" s="1"/>
  <c r="H27" i="1"/>
  <c r="Q2" i="1"/>
  <c r="Q8" i="1" s="1"/>
  <c r="D21" i="1"/>
  <c r="D23" i="1" s="1"/>
  <c r="M2" i="1" l="1"/>
  <c r="M8" i="1" s="1"/>
  <c r="D27" i="1"/>
  <c r="U13" i="1" l="1"/>
  <c r="U19" i="1" s="1"/>
  <c r="U23" i="1" s="1"/>
</calcChain>
</file>

<file path=xl/sharedStrings.xml><?xml version="1.0" encoding="utf-8"?>
<sst xmlns="http://schemas.openxmlformats.org/spreadsheetml/2006/main" count="60" uniqueCount="46">
  <si>
    <t>$ In Millions</t>
  </si>
  <si>
    <t>24 A</t>
  </si>
  <si>
    <t>25 E</t>
  </si>
  <si>
    <t>26 E</t>
  </si>
  <si>
    <t>27 E</t>
  </si>
  <si>
    <t>28 E</t>
  </si>
  <si>
    <t>29 E</t>
  </si>
  <si>
    <t>Total Revenue</t>
  </si>
  <si>
    <t>Net Income</t>
  </si>
  <si>
    <t>COGS</t>
  </si>
  <si>
    <t xml:space="preserve">Total Non Cash Items </t>
  </si>
  <si>
    <t>Gross Profit</t>
  </si>
  <si>
    <t>Change in Assets/Liabilities</t>
  </si>
  <si>
    <t>Gross Margin</t>
  </si>
  <si>
    <t xml:space="preserve">Cash Flow From Operations </t>
  </si>
  <si>
    <t>Shares Outstanding</t>
  </si>
  <si>
    <t>Operating Expense</t>
  </si>
  <si>
    <t>CAPEX</t>
  </si>
  <si>
    <t>Operating Income</t>
  </si>
  <si>
    <t>Operating Margin</t>
  </si>
  <si>
    <t xml:space="preserve">WACC </t>
  </si>
  <si>
    <t>Other Income Expense</t>
  </si>
  <si>
    <t>One Time Expense</t>
  </si>
  <si>
    <t>-</t>
  </si>
  <si>
    <t>Pre Tax Income</t>
  </si>
  <si>
    <t>Tax</t>
  </si>
  <si>
    <t>WACC</t>
  </si>
  <si>
    <t xml:space="preserve">Cost of Equity </t>
  </si>
  <si>
    <t xml:space="preserve">Cost of Debt </t>
  </si>
  <si>
    <t xml:space="preserve">Weight of Debt </t>
  </si>
  <si>
    <t xml:space="preserve">Weight of Equity </t>
  </si>
  <si>
    <t>Terminal Value</t>
  </si>
  <si>
    <t>Discounting</t>
  </si>
  <si>
    <t>Discount Factor</t>
  </si>
  <si>
    <t>PV of FCF</t>
  </si>
  <si>
    <t>PV of TV</t>
  </si>
  <si>
    <t>Equity Value</t>
  </si>
  <si>
    <t>EV</t>
  </si>
  <si>
    <t>Cash</t>
  </si>
  <si>
    <t>Debt</t>
  </si>
  <si>
    <t>Implied Share Price</t>
  </si>
  <si>
    <t>Income From Operations</t>
  </si>
  <si>
    <t xml:space="preserve">Prefered Stcok Dividends </t>
  </si>
  <si>
    <t>FCF To Stock Holders</t>
  </si>
  <si>
    <t>Terminal Value = FCFₙ × (1 + g) / (WACC - g)</t>
  </si>
  <si>
    <t>Growth: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</si>
</sst>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"/>
    <numFmt numFmtId="165" formatCode="0.0"/>
    <numFmt numFmtId="166" formatCode="#,##0.0"/>
    <numFmt numFmtId="167" formatCode="0.0%"/>
  </numFmts>
  <fonts count="16">
    <font>
      <sz val="10"/>
      <color rgb="FF000000"/>
      <name val="Arial"/>
      <scheme val="minor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sz val="11"/>
      <color rgb="FF232A3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1"/>
      <color rgb="FF232A31"/>
      <name val="Roboto"/>
    </font>
    <font>
      <sz val="10"/>
      <color theme="1"/>
      <name val="Roboto"/>
    </font>
    <font>
      <sz val="10"/>
      <color theme="1"/>
      <name val="Times"/>
    </font>
    <font>
      <b/>
      <sz val="11"/>
      <color rgb="FF232A31"/>
      <name val="Roboto"/>
    </font>
    <font>
      <sz val="11"/>
      <color rgb="FF232A31"/>
      <name val="Times"/>
    </font>
    <font>
      <sz val="10"/>
      <color rgb="FF000000"/>
      <name val="Arial"/>
      <family val="2"/>
      <scheme val="minor"/>
    </font>
    <font>
      <sz val="10"/>
      <color rgb="FF000000"/>
      <name val="Roboto"/>
    </font>
    <font>
      <sz val="11"/>
      <color rgb="FFCA3323"/>
      <name val="Menlo"/>
      <family val="2"/>
    </font>
    <font>
      <sz val="11"/>
      <color rgb="FF39C026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9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 style="thin">
        <color rgb="FFFFFFFF"/>
      </bottom>
      <diagonal/>
    </border>
    <border>
      <left/>
      <right style="thick">
        <color rgb="FF000000"/>
      </right>
      <top style="thick">
        <color rgb="FFFFFFFF"/>
      </top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000000"/>
      </bottom>
      <diagonal/>
    </border>
    <border>
      <left style="thick">
        <color rgb="FF000000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000000"/>
      </right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000000"/>
      </right>
      <top style="thick">
        <color theme="1"/>
      </top>
      <bottom style="thin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theme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 style="thin">
        <color rgb="FFFFFFFF"/>
      </bottom>
      <diagonal/>
    </border>
    <border>
      <left style="thick">
        <color theme="1"/>
      </left>
      <right style="thin">
        <color rgb="FFFFFFFF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 style="thick">
        <color theme="1"/>
      </bottom>
      <diagonal/>
    </border>
    <border>
      <left/>
      <right style="thin">
        <color rgb="FFFFFFFF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ck">
        <color theme="1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ck">
        <color rgb="FF000000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ck">
        <color theme="2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theme="2"/>
      </top>
      <bottom style="thin">
        <color rgb="FFFFFFFF"/>
      </bottom>
      <diagonal/>
    </border>
    <border>
      <left/>
      <right style="thin">
        <color rgb="FFFFFFFF"/>
      </right>
      <top style="thick">
        <color theme="2"/>
      </top>
      <bottom style="thin">
        <color rgb="FFFFFFFF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/>
      <diagonal/>
    </border>
    <border>
      <left/>
      <right style="thick">
        <color rgb="FF000000"/>
      </right>
      <top style="thick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/>
      <top style="thin">
        <color rgb="FFFFFFFF"/>
      </top>
      <bottom style="thick">
        <color theme="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theme="0"/>
      </bottom>
      <diagonal/>
    </border>
    <border>
      <left/>
      <right style="thin">
        <color rgb="FFFFFFFF"/>
      </right>
      <top style="thick">
        <color theme="1"/>
      </top>
      <bottom style="thin">
        <color rgb="FFFFFFFF"/>
      </bottom>
      <diagonal/>
    </border>
    <border>
      <left style="thick">
        <color theme="1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theme="1"/>
      </right>
      <top/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ck">
        <color theme="1"/>
      </top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ck">
        <color theme="1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FFFFFF"/>
      </left>
      <right style="thick">
        <color theme="0"/>
      </right>
      <top/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ck">
        <color theme="0"/>
      </bottom>
      <diagonal/>
    </border>
    <border>
      <left style="thick">
        <color theme="0"/>
      </left>
      <right style="thin">
        <color rgb="FFFFFFFF"/>
      </right>
      <top style="thick">
        <color theme="0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ck">
        <color theme="0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ck">
        <color theme="1"/>
      </top>
      <bottom style="thin">
        <color rgb="FFFFFFFF"/>
      </bottom>
      <diagonal/>
    </border>
    <border>
      <left/>
      <right style="thick">
        <color rgb="FF000000"/>
      </right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ck">
        <color theme="0"/>
      </left>
      <right style="thin">
        <color rgb="FFFFFFFF"/>
      </right>
      <top/>
      <bottom style="thick">
        <color theme="0"/>
      </bottom>
      <diagonal/>
    </border>
    <border>
      <left style="thin">
        <color rgb="FFFFFFFF"/>
      </left>
      <right style="thick">
        <color theme="0"/>
      </right>
      <top/>
      <bottom style="thick">
        <color theme="0"/>
      </bottom>
      <diagonal/>
    </border>
    <border>
      <left style="thick">
        <color theme="1"/>
      </left>
      <right style="thin">
        <color rgb="FFFFFFFF"/>
      </right>
      <top style="thick">
        <color theme="2"/>
      </top>
      <bottom style="thin">
        <color rgb="FFFFFFFF"/>
      </bottom>
      <diagonal/>
    </border>
    <border>
      <left style="thick">
        <color theme="1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/>
      <right style="thick">
        <color theme="1"/>
      </right>
      <top style="thick">
        <color rgb="FFFFFFFF"/>
      </top>
      <bottom style="thick">
        <color theme="0"/>
      </bottom>
      <diagonal/>
    </border>
    <border>
      <left style="thick">
        <color theme="1"/>
      </left>
      <right style="thin">
        <color rgb="FFFFFFFF"/>
      </right>
      <top/>
      <bottom/>
      <diagonal/>
    </border>
    <border>
      <left/>
      <right style="thick">
        <color theme="1"/>
      </right>
      <top/>
      <bottom style="thick">
        <color rgb="FFFFFFFF"/>
      </bottom>
      <diagonal/>
    </border>
    <border>
      <left style="thick">
        <color theme="1"/>
      </left>
      <right style="thin">
        <color rgb="FFFFFFFF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 style="thick">
        <color theme="1"/>
      </right>
      <top/>
      <bottom style="thick">
        <color rgb="FFFFFFFF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/>
      <top style="thin">
        <color rgb="FFFFFFFF"/>
      </top>
      <bottom style="thick">
        <color theme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theme="1"/>
      </bottom>
      <diagonal/>
    </border>
    <border>
      <left style="thick">
        <color rgb="FFFFFFFF"/>
      </left>
      <right style="thick">
        <color theme="1"/>
      </right>
      <top style="thick">
        <color rgb="FFFFFFFF"/>
      </top>
      <bottom style="thick">
        <color theme="1"/>
      </bottom>
      <diagonal/>
    </border>
    <border>
      <left style="thick">
        <color rgb="FFFFFFFF"/>
      </left>
      <right style="thick">
        <color theme="1"/>
      </right>
      <top style="thick">
        <color theme="2"/>
      </top>
      <bottom style="thick">
        <color rgb="FFFFFFFF"/>
      </bottom>
      <diagonal/>
    </border>
    <border>
      <left style="thick">
        <color theme="1"/>
      </left>
      <right style="thin">
        <color rgb="FFFFFFFF"/>
      </right>
      <top style="thin">
        <color rgb="FFFFFFFF"/>
      </top>
      <bottom/>
      <diagonal/>
    </border>
    <border>
      <left style="thick">
        <color theme="1"/>
      </left>
      <right style="thin">
        <color rgb="FFFFFFFF"/>
      </right>
      <top style="thick">
        <color theme="0"/>
      </top>
      <bottom/>
      <diagonal/>
    </border>
    <border>
      <left style="thin">
        <color rgb="FFFFFFFF"/>
      </left>
      <right style="thick">
        <color theme="1"/>
      </right>
      <top style="thick">
        <color theme="0"/>
      </top>
      <bottom/>
      <diagonal/>
    </border>
    <border>
      <left style="thin">
        <color rgb="FFFFFFFF"/>
      </left>
      <right style="thin">
        <color rgb="FFFFFFFF"/>
      </right>
      <top style="thick">
        <color theme="0"/>
      </top>
      <bottom/>
      <diagonal/>
    </border>
    <border>
      <left style="thick">
        <color theme="0"/>
      </left>
      <right style="thin">
        <color rgb="FFFFFFFF"/>
      </right>
      <top style="thick">
        <color theme="1"/>
      </top>
      <bottom style="thick">
        <color theme="0"/>
      </bottom>
      <diagonal/>
    </border>
    <border>
      <left style="thin">
        <color rgb="FFFFFFFF"/>
      </left>
      <right style="thin">
        <color rgb="FFFFFFFF"/>
      </right>
      <top style="thick">
        <color theme="1"/>
      </top>
      <bottom style="thick">
        <color theme="0"/>
      </bottom>
      <diagonal/>
    </border>
    <border>
      <left style="thin">
        <color rgb="FFFFFFFF"/>
      </left>
      <right style="thick">
        <color theme="0"/>
      </right>
      <top style="thick">
        <color theme="1"/>
      </top>
      <bottom style="thick">
        <color theme="0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9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2" fillId="0" borderId="0" xfId="0" applyFont="1"/>
    <xf numFmtId="0" fontId="2" fillId="0" borderId="4" xfId="0" applyFont="1" applyBorder="1"/>
    <xf numFmtId="0" fontId="2" fillId="2" borderId="6" xfId="0" applyFont="1" applyFill="1" applyBorder="1"/>
    <xf numFmtId="0" fontId="3" fillId="0" borderId="8" xfId="0" applyFont="1" applyBorder="1"/>
    <xf numFmtId="0" fontId="3" fillId="0" borderId="9" xfId="0" applyFont="1" applyBorder="1"/>
    <xf numFmtId="3" fontId="4" fillId="0" borderId="10" xfId="0" applyNumberFormat="1" applyFont="1" applyBorder="1"/>
    <xf numFmtId="3" fontId="2" fillId="0" borderId="11" xfId="0" applyNumberFormat="1" applyFont="1" applyBorder="1"/>
    <xf numFmtId="3" fontId="2" fillId="0" borderId="8" xfId="0" applyNumberFormat="1" applyFont="1" applyBorder="1" applyAlignment="1">
      <alignment horizontal="right"/>
    </xf>
    <xf numFmtId="3" fontId="4" fillId="0" borderId="9" xfId="0" applyNumberFormat="1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0" fontId="2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3" fontId="5" fillId="0" borderId="15" xfId="0" applyNumberFormat="1" applyFont="1" applyBorder="1"/>
    <xf numFmtId="3" fontId="5" fillId="0" borderId="9" xfId="0" applyNumberFormat="1" applyFont="1" applyBorder="1"/>
    <xf numFmtId="3" fontId="5" fillId="0" borderId="16" xfId="0" applyNumberFormat="1" applyFont="1" applyBorder="1"/>
    <xf numFmtId="0" fontId="2" fillId="0" borderId="10" xfId="0" applyFont="1" applyBorder="1"/>
    <xf numFmtId="0" fontId="2" fillId="0" borderId="9" xfId="0" applyFont="1" applyBorder="1"/>
    <xf numFmtId="0" fontId="2" fillId="0" borderId="11" xfId="0" applyFont="1" applyBorder="1"/>
    <xf numFmtId="10" fontId="2" fillId="0" borderId="8" xfId="0" applyNumberFormat="1" applyFont="1" applyBorder="1" applyAlignment="1">
      <alignment horizontal="right"/>
    </xf>
    <xf numFmtId="4" fontId="2" fillId="0" borderId="9" xfId="0" applyNumberFormat="1" applyFont="1" applyBorder="1" applyAlignment="1">
      <alignment horizontal="right"/>
    </xf>
    <xf numFmtId="4" fontId="2" fillId="0" borderId="11" xfId="0" applyNumberFormat="1" applyFont="1" applyBorder="1" applyAlignment="1">
      <alignment horizontal="right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16" xfId="0" applyFont="1" applyBorder="1"/>
    <xf numFmtId="1" fontId="5" fillId="0" borderId="17" xfId="0" applyNumberFormat="1" applyFont="1" applyBorder="1"/>
    <xf numFmtId="165" fontId="5" fillId="0" borderId="21" xfId="0" applyNumberFormat="1" applyFont="1" applyBorder="1"/>
    <xf numFmtId="165" fontId="5" fillId="0" borderId="14" xfId="0" applyNumberFormat="1" applyFont="1" applyBorder="1"/>
    <xf numFmtId="0" fontId="5" fillId="0" borderId="21" xfId="0" applyFont="1" applyBorder="1"/>
    <xf numFmtId="3" fontId="4" fillId="0" borderId="8" xfId="0" applyNumberFormat="1" applyFont="1" applyBorder="1" applyAlignment="1">
      <alignment horizontal="right"/>
    </xf>
    <xf numFmtId="9" fontId="2" fillId="0" borderId="8" xfId="0" applyNumberFormat="1" applyFont="1" applyBorder="1" applyAlignment="1">
      <alignment horizontal="right"/>
    </xf>
    <xf numFmtId="10" fontId="2" fillId="0" borderId="9" xfId="0" applyNumberFormat="1" applyFont="1" applyBorder="1" applyAlignment="1">
      <alignment horizontal="right"/>
    </xf>
    <xf numFmtId="10" fontId="2" fillId="0" borderId="11" xfId="0" applyNumberFormat="1" applyFont="1" applyBorder="1" applyAlignment="1">
      <alignment horizontal="right"/>
    </xf>
    <xf numFmtId="4" fontId="4" fillId="0" borderId="8" xfId="0" applyNumberFormat="1" applyFont="1" applyBorder="1" applyAlignment="1">
      <alignment horizontal="right"/>
    </xf>
    <xf numFmtId="4" fontId="4" fillId="0" borderId="9" xfId="0" applyNumberFormat="1" applyFont="1" applyBorder="1" applyAlignment="1">
      <alignment horizontal="right"/>
    </xf>
    <xf numFmtId="4" fontId="4" fillId="0" borderId="11" xfId="0" applyNumberFormat="1" applyFont="1" applyBorder="1" applyAlignment="1">
      <alignment horizontal="right"/>
    </xf>
    <xf numFmtId="3" fontId="5" fillId="0" borderId="17" xfId="0" applyNumberFormat="1" applyFont="1" applyBorder="1"/>
    <xf numFmtId="3" fontId="5" fillId="0" borderId="14" xfId="0" applyNumberFormat="1" applyFont="1" applyBorder="1"/>
    <xf numFmtId="0" fontId="5" fillId="0" borderId="22" xfId="0" applyFont="1" applyBorder="1"/>
    <xf numFmtId="0" fontId="5" fillId="0" borderId="9" xfId="0" applyFont="1" applyBorder="1"/>
    <xf numFmtId="2" fontId="5" fillId="0" borderId="17" xfId="0" applyNumberFormat="1" applyFont="1" applyBorder="1"/>
    <xf numFmtId="3" fontId="2" fillId="0" borderId="9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0" fontId="2" fillId="0" borderId="23" xfId="0" applyFont="1" applyBorder="1"/>
    <xf numFmtId="0" fontId="2" fillId="0" borderId="24" xfId="0" applyFont="1" applyBorder="1"/>
    <xf numFmtId="0" fontId="2" fillId="0" borderId="8" xfId="0" applyFont="1" applyBorder="1"/>
    <xf numFmtId="0" fontId="6" fillId="2" borderId="5" xfId="0" applyFont="1" applyFill="1" applyBorder="1"/>
    <xf numFmtId="0" fontId="2" fillId="2" borderId="7" xfId="0" applyFont="1" applyFill="1" applyBorder="1"/>
    <xf numFmtId="10" fontId="2" fillId="0" borderId="11" xfId="0" applyNumberFormat="1" applyFont="1" applyBorder="1"/>
    <xf numFmtId="4" fontId="2" fillId="0" borderId="8" xfId="0" applyNumberFormat="1" applyFont="1" applyBorder="1" applyAlignment="1">
      <alignment horizontal="right"/>
    </xf>
    <xf numFmtId="9" fontId="2" fillId="0" borderId="9" xfId="0" applyNumberFormat="1" applyFont="1" applyBorder="1" applyAlignment="1">
      <alignment horizontal="right"/>
    </xf>
    <xf numFmtId="9" fontId="2" fillId="0" borderId="11" xfId="0" applyNumberFormat="1" applyFont="1" applyBorder="1" applyAlignment="1">
      <alignment horizontal="right"/>
    </xf>
    <xf numFmtId="4" fontId="2" fillId="0" borderId="16" xfId="0" applyNumberFormat="1" applyFont="1" applyBorder="1" applyAlignment="1">
      <alignment horizontal="right"/>
    </xf>
    <xf numFmtId="0" fontId="2" fillId="0" borderId="26" xfId="0" applyFont="1" applyBorder="1"/>
    <xf numFmtId="0" fontId="2" fillId="0" borderId="27" xfId="0" applyFont="1" applyBorder="1"/>
    <xf numFmtId="9" fontId="2" fillId="0" borderId="28" xfId="0" applyNumberFormat="1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12" xfId="0" applyFont="1" applyBorder="1"/>
    <xf numFmtId="0" fontId="9" fillId="0" borderId="21" xfId="0" applyFont="1" applyBorder="1"/>
    <xf numFmtId="0" fontId="3" fillId="0" borderId="21" xfId="0" applyFont="1" applyBorder="1"/>
    <xf numFmtId="0" fontId="3" fillId="0" borderId="22" xfId="0" applyFont="1" applyBorder="1"/>
    <xf numFmtId="0" fontId="8" fillId="0" borderId="29" xfId="0" applyFont="1" applyBorder="1"/>
    <xf numFmtId="0" fontId="9" fillId="0" borderId="18" xfId="0" applyFont="1" applyBorder="1"/>
    <xf numFmtId="3" fontId="11" fillId="0" borderId="21" xfId="0" applyNumberFormat="1" applyFont="1" applyBorder="1"/>
    <xf numFmtId="3" fontId="9" fillId="0" borderId="21" xfId="0" applyNumberFormat="1" applyFont="1" applyBorder="1"/>
    <xf numFmtId="4" fontId="11" fillId="0" borderId="21" xfId="0" applyNumberFormat="1" applyFont="1" applyBorder="1" applyAlignment="1">
      <alignment horizontal="center"/>
    </xf>
    <xf numFmtId="10" fontId="9" fillId="0" borderId="21" xfId="0" applyNumberFormat="1" applyFont="1" applyBorder="1"/>
    <xf numFmtId="3" fontId="11" fillId="0" borderId="21" xfId="0" applyNumberFormat="1" applyFont="1" applyBorder="1" applyAlignment="1">
      <alignment horizontal="right"/>
    </xf>
    <xf numFmtId="3" fontId="9" fillId="0" borderId="21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2" fillId="2" borderId="30" xfId="0" applyFont="1" applyFill="1" applyBorder="1"/>
    <xf numFmtId="3" fontId="4" fillId="0" borderId="26" xfId="0" applyNumberFormat="1" applyFont="1" applyBorder="1"/>
    <xf numFmtId="3" fontId="2" fillId="0" borderId="28" xfId="0" applyNumberFormat="1" applyFont="1" applyBorder="1"/>
    <xf numFmtId="3" fontId="4" fillId="0" borderId="31" xfId="0" applyNumberFormat="1" applyFont="1" applyBorder="1" applyAlignment="1">
      <alignment horizontal="right"/>
    </xf>
    <xf numFmtId="3" fontId="4" fillId="0" borderId="28" xfId="0" applyNumberFormat="1" applyFont="1" applyBorder="1" applyAlignment="1">
      <alignment horizontal="right"/>
    </xf>
    <xf numFmtId="10" fontId="2" fillId="0" borderId="21" xfId="0" applyNumberFormat="1" applyFont="1" applyBorder="1" applyAlignment="1">
      <alignment horizontal="right"/>
    </xf>
    <xf numFmtId="3" fontId="8" fillId="0" borderId="18" xfId="0" applyNumberFormat="1" applyFont="1" applyBorder="1" applyAlignment="1">
      <alignment horizontal="right"/>
    </xf>
    <xf numFmtId="0" fontId="2" fillId="0" borderId="32" xfId="0" applyFont="1" applyBorder="1"/>
    <xf numFmtId="10" fontId="2" fillId="0" borderId="33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0" fontId="2" fillId="0" borderId="33" xfId="0" applyFont="1" applyBorder="1"/>
    <xf numFmtId="0" fontId="9" fillId="0" borderId="40" xfId="0" applyFont="1" applyBorder="1"/>
    <xf numFmtId="4" fontId="11" fillId="0" borderId="17" xfId="0" applyNumberFormat="1" applyFont="1" applyBorder="1" applyAlignment="1">
      <alignment horizontal="right"/>
    </xf>
    <xf numFmtId="3" fontId="9" fillId="0" borderId="17" xfId="0" applyNumberFormat="1" applyFont="1" applyBorder="1"/>
    <xf numFmtId="3" fontId="10" fillId="0" borderId="38" xfId="0" applyNumberFormat="1" applyFont="1" applyBorder="1"/>
    <xf numFmtId="3" fontId="8" fillId="0" borderId="38" xfId="0" applyNumberFormat="1" applyFont="1" applyBorder="1"/>
    <xf numFmtId="0" fontId="9" fillId="0" borderId="32" xfId="0" applyFont="1" applyBorder="1"/>
    <xf numFmtId="0" fontId="5" fillId="0" borderId="42" xfId="0" applyFont="1" applyBorder="1"/>
    <xf numFmtId="2" fontId="5" fillId="0" borderId="47" xfId="0" applyNumberFormat="1" applyFont="1" applyBorder="1"/>
    <xf numFmtId="2" fontId="5" fillId="0" borderId="46" xfId="0" applyNumberFormat="1" applyFont="1" applyBorder="1"/>
    <xf numFmtId="0" fontId="5" fillId="0" borderId="41" xfId="0" applyFont="1" applyBorder="1"/>
    <xf numFmtId="0" fontId="5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0" fontId="5" fillId="0" borderId="27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52" xfId="0" applyFont="1" applyBorder="1"/>
    <xf numFmtId="0" fontId="5" fillId="0" borderId="53" xfId="0" applyFont="1" applyBorder="1"/>
    <xf numFmtId="0" fontId="5" fillId="0" borderId="54" xfId="0" applyFont="1" applyBorder="1"/>
    <xf numFmtId="0" fontId="2" fillId="0" borderId="40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56" xfId="0" applyFont="1" applyBorder="1"/>
    <xf numFmtId="0" fontId="3" fillId="0" borderId="33" xfId="0" applyFont="1" applyBorder="1"/>
    <xf numFmtId="0" fontId="9" fillId="0" borderId="34" xfId="0" applyFont="1" applyBorder="1"/>
    <xf numFmtId="0" fontId="5" fillId="0" borderId="38" xfId="0" applyFont="1" applyBorder="1"/>
    <xf numFmtId="0" fontId="5" fillId="0" borderId="40" xfId="0" applyFont="1" applyBorder="1"/>
    <xf numFmtId="0" fontId="5" fillId="0" borderId="58" xfId="0" applyFont="1" applyBorder="1"/>
    <xf numFmtId="0" fontId="5" fillId="0" borderId="47" xfId="0" applyFont="1" applyBorder="1"/>
    <xf numFmtId="0" fontId="5" fillId="0" borderId="61" xfId="0" applyFont="1" applyBorder="1"/>
    <xf numFmtId="0" fontId="2" fillId="0" borderId="62" xfId="0" applyFont="1" applyBorder="1"/>
    <xf numFmtId="0" fontId="9" fillId="0" borderId="63" xfId="0" applyFont="1" applyBorder="1"/>
    <xf numFmtId="0" fontId="9" fillId="0" borderId="66" xfId="0" applyFont="1" applyBorder="1"/>
    <xf numFmtId="0" fontId="9" fillId="0" borderId="67" xfId="0" applyFont="1" applyBorder="1"/>
    <xf numFmtId="3" fontId="11" fillId="0" borderId="63" xfId="0" applyNumberFormat="1" applyFont="1" applyBorder="1"/>
    <xf numFmtId="3" fontId="9" fillId="0" borderId="64" xfId="0" applyNumberFormat="1" applyFont="1" applyBorder="1"/>
    <xf numFmtId="0" fontId="9" fillId="0" borderId="64" xfId="0" applyFont="1" applyBorder="1"/>
    <xf numFmtId="3" fontId="11" fillId="0" borderId="59" xfId="0" applyNumberFormat="1" applyFont="1" applyBorder="1"/>
    <xf numFmtId="3" fontId="9" fillId="0" borderId="65" xfId="0" applyNumberFormat="1" applyFont="1" applyBorder="1"/>
    <xf numFmtId="0" fontId="5" fillId="0" borderId="68" xfId="0" applyFont="1" applyBorder="1"/>
    <xf numFmtId="1" fontId="5" fillId="0" borderId="55" xfId="0" applyNumberFormat="1" applyFont="1" applyBorder="1"/>
    <xf numFmtId="165" fontId="5" fillId="0" borderId="39" xfId="0" applyNumberFormat="1" applyFont="1" applyBorder="1"/>
    <xf numFmtId="165" fontId="5" fillId="0" borderId="68" xfId="0" applyNumberFormat="1" applyFont="1" applyBorder="1"/>
    <xf numFmtId="0" fontId="2" fillId="2" borderId="69" xfId="0" applyFont="1" applyFill="1" applyBorder="1"/>
    <xf numFmtId="0" fontId="5" fillId="0" borderId="36" xfId="0" applyFont="1" applyBorder="1"/>
    <xf numFmtId="0" fontId="2" fillId="2" borderId="70" xfId="0" applyFont="1" applyFill="1" applyBorder="1"/>
    <xf numFmtId="0" fontId="9" fillId="0" borderId="71" xfId="0" applyFont="1" applyBorder="1"/>
    <xf numFmtId="0" fontId="3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5" fillId="0" borderId="75" xfId="0" applyFont="1" applyBorder="1"/>
    <xf numFmtId="0" fontId="5" fillId="0" borderId="76" xfId="0" applyFont="1" applyBorder="1"/>
    <xf numFmtId="0" fontId="5" fillId="0" borderId="78" xfId="0" applyFont="1" applyBorder="1"/>
    <xf numFmtId="0" fontId="3" fillId="0" borderId="80" xfId="0" applyFont="1" applyBorder="1"/>
    <xf numFmtId="0" fontId="3" fillId="0" borderId="37" xfId="0" applyFont="1" applyBorder="1"/>
    <xf numFmtId="0" fontId="3" fillId="0" borderId="35" xfId="0" applyFont="1" applyBorder="1"/>
    <xf numFmtId="0" fontId="3" fillId="0" borderId="81" xfId="0" applyFont="1" applyBorder="1"/>
    <xf numFmtId="0" fontId="3" fillId="0" borderId="82" xfId="0" applyFont="1" applyBorder="1"/>
    <xf numFmtId="0" fontId="3" fillId="0" borderId="83" xfId="0" applyFont="1" applyBorder="1"/>
    <xf numFmtId="0" fontId="9" fillId="0" borderId="22" xfId="0" applyFont="1" applyBorder="1"/>
    <xf numFmtId="3" fontId="5" fillId="0" borderId="56" xfId="0" applyNumberFormat="1" applyFont="1" applyBorder="1"/>
    <xf numFmtId="1" fontId="5" fillId="0" borderId="57" xfId="0" applyNumberFormat="1" applyFont="1" applyBorder="1"/>
    <xf numFmtId="43" fontId="5" fillId="0" borderId="48" xfId="1" applyFont="1" applyBorder="1"/>
    <xf numFmtId="2" fontId="5" fillId="0" borderId="84" xfId="0" applyNumberFormat="1" applyFont="1" applyBorder="1"/>
    <xf numFmtId="43" fontId="5" fillId="0" borderId="18" xfId="0" applyNumberFormat="1" applyFont="1" applyBorder="1"/>
    <xf numFmtId="2" fontId="5" fillId="0" borderId="18" xfId="0" applyNumberFormat="1" applyFont="1" applyBorder="1"/>
    <xf numFmtId="2" fontId="5" fillId="0" borderId="77" xfId="0" applyNumberFormat="1" applyFont="1" applyBorder="1"/>
    <xf numFmtId="2" fontId="2" fillId="0" borderId="79" xfId="0" applyNumberFormat="1" applyFont="1" applyBorder="1"/>
    <xf numFmtId="43" fontId="3" fillId="0" borderId="33" xfId="0" applyNumberFormat="1" applyFont="1" applyBorder="1"/>
    <xf numFmtId="43" fontId="3" fillId="0" borderId="36" xfId="0" applyNumberFormat="1" applyFont="1" applyBorder="1"/>
    <xf numFmtId="10" fontId="2" fillId="0" borderId="11" xfId="2" applyNumberFormat="1" applyFont="1" applyBorder="1"/>
    <xf numFmtId="3" fontId="7" fillId="0" borderId="85" xfId="0" applyNumberFormat="1" applyFont="1" applyBorder="1"/>
    <xf numFmtId="3" fontId="8" fillId="0" borderId="49" xfId="0" applyNumberFormat="1" applyFont="1" applyBorder="1"/>
    <xf numFmtId="4" fontId="7" fillId="0" borderId="43" xfId="0" applyNumberFormat="1" applyFont="1" applyBorder="1" applyAlignment="1">
      <alignment horizontal="right"/>
    </xf>
    <xf numFmtId="4" fontId="7" fillId="0" borderId="44" xfId="0" applyNumberFormat="1" applyFont="1" applyBorder="1" applyAlignment="1">
      <alignment horizontal="right"/>
    </xf>
    <xf numFmtId="4" fontId="7" fillId="0" borderId="49" xfId="0" applyNumberFormat="1" applyFont="1" applyBorder="1" applyAlignment="1">
      <alignment horizontal="right"/>
    </xf>
    <xf numFmtId="0" fontId="8" fillId="0" borderId="74" xfId="0" applyFont="1" applyBorder="1"/>
    <xf numFmtId="0" fontId="8" fillId="0" borderId="60" xfId="0" applyFont="1" applyBorder="1"/>
    <xf numFmtId="3" fontId="8" fillId="0" borderId="74" xfId="0" applyNumberFormat="1" applyFont="1" applyBorder="1" applyAlignment="1">
      <alignment horizontal="right"/>
    </xf>
    <xf numFmtId="43" fontId="8" fillId="0" borderId="52" xfId="1" applyFont="1" applyBorder="1" applyAlignment="1">
      <alignment horizontal="right"/>
    </xf>
    <xf numFmtId="4" fontId="8" fillId="0" borderId="60" xfId="0" applyNumberFormat="1" applyFont="1" applyBorder="1" applyAlignment="1">
      <alignment horizontal="right"/>
    </xf>
    <xf numFmtId="10" fontId="2" fillId="0" borderId="25" xfId="0" applyNumberFormat="1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4" fontId="3" fillId="0" borderId="33" xfId="0" applyNumberFormat="1" applyFont="1" applyBorder="1"/>
    <xf numFmtId="3" fontId="7" fillId="0" borderId="86" xfId="0" applyNumberFormat="1" applyFont="1" applyBorder="1"/>
    <xf numFmtId="3" fontId="8" fillId="0" borderId="87" xfId="0" applyNumberFormat="1" applyFont="1" applyBorder="1"/>
    <xf numFmtId="4" fontId="8" fillId="0" borderId="86" xfId="0" applyNumberFormat="1" applyFont="1" applyBorder="1" applyAlignment="1">
      <alignment horizontal="right"/>
    </xf>
    <xf numFmtId="4" fontId="7" fillId="0" borderId="88" xfId="0" applyNumberFormat="1" applyFont="1" applyBorder="1" applyAlignment="1">
      <alignment horizontal="right"/>
    </xf>
    <xf numFmtId="4" fontId="7" fillId="0" borderId="87" xfId="0" applyNumberFormat="1" applyFont="1" applyBorder="1" applyAlignment="1">
      <alignment horizontal="right"/>
    </xf>
    <xf numFmtId="0" fontId="8" fillId="0" borderId="89" xfId="0" applyFont="1" applyBorder="1"/>
    <xf numFmtId="0" fontId="8" fillId="0" borderId="90" xfId="0" applyFont="1" applyBorder="1"/>
    <xf numFmtId="3" fontId="8" fillId="0" borderId="90" xfId="0" applyNumberFormat="1" applyFont="1" applyBorder="1" applyAlignment="1">
      <alignment horizontal="right"/>
    </xf>
    <xf numFmtId="9" fontId="8" fillId="0" borderId="90" xfId="0" applyNumberFormat="1" applyFont="1" applyBorder="1" applyAlignment="1">
      <alignment horizontal="right"/>
    </xf>
    <xf numFmtId="9" fontId="8" fillId="0" borderId="91" xfId="0" applyNumberFormat="1" applyFont="1" applyBorder="1" applyAlignment="1">
      <alignment horizontal="right"/>
    </xf>
    <xf numFmtId="0" fontId="12" fillId="0" borderId="0" xfId="0" applyFont="1"/>
    <xf numFmtId="167" fontId="5" fillId="0" borderId="34" xfId="0" applyNumberFormat="1" applyFont="1" applyBorder="1" applyAlignment="1">
      <alignment horizontal="left"/>
    </xf>
    <xf numFmtId="9" fontId="2" fillId="0" borderId="11" xfId="2" applyFont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48576"/>
  <sheetViews>
    <sheetView tabSelected="1" zoomScale="99" zoomScaleNormal="98" workbookViewId="0">
      <selection activeCell="M12" sqref="M12"/>
    </sheetView>
  </sheetViews>
  <sheetFormatPr baseColWidth="10" defaultColWidth="12.6640625" defaultRowHeight="15.75" customHeight="1"/>
  <cols>
    <col min="9" max="9" width="5.1640625" customWidth="1"/>
    <col min="17" max="17" width="12.6640625" customWidth="1"/>
    <col min="18" max="18" width="5.1640625" customWidth="1"/>
  </cols>
  <sheetData>
    <row r="1" spans="1:26" ht="15.75" customHeight="1" thickTop="1" thickBot="1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/>
      <c r="J1" s="1" t="s">
        <v>0</v>
      </c>
      <c r="K1" s="82"/>
      <c r="L1" s="3" t="s">
        <v>1</v>
      </c>
      <c r="M1" s="4" t="s">
        <v>2</v>
      </c>
      <c r="N1" s="4" t="s">
        <v>3</v>
      </c>
      <c r="O1" s="4" t="s">
        <v>4</v>
      </c>
      <c r="P1" s="4" t="s">
        <v>5</v>
      </c>
      <c r="Q1" s="5" t="s">
        <v>6</v>
      </c>
      <c r="R1" s="7"/>
      <c r="S1" s="54" t="s">
        <v>20</v>
      </c>
      <c r="T1" s="8"/>
      <c r="U1" s="55"/>
      <c r="V1" s="9"/>
      <c r="W1" s="10"/>
      <c r="X1" s="10"/>
      <c r="Y1" s="10"/>
      <c r="Z1" s="10"/>
    </row>
    <row r="2" spans="1:26" ht="15.75" customHeight="1" thickTop="1" thickBot="1">
      <c r="A2" s="11" t="s">
        <v>7</v>
      </c>
      <c r="B2" s="12"/>
      <c r="C2" s="13"/>
      <c r="D2" s="14">
        <f>C2*D3</f>
        <v>0</v>
      </c>
      <c r="E2" s="14">
        <f>E3*D2</f>
        <v>0</v>
      </c>
      <c r="F2" s="14">
        <f>F3*E2</f>
        <v>0</v>
      </c>
      <c r="G2" s="14">
        <f>G3*F2</f>
        <v>0</v>
      </c>
      <c r="H2" s="15">
        <f>H3*G2</f>
        <v>0</v>
      </c>
      <c r="I2" s="16"/>
      <c r="J2" s="17" t="s">
        <v>8</v>
      </c>
      <c r="K2" s="18"/>
      <c r="L2" s="19">
        <f t="shared" ref="L2:Q2" si="0">C23</f>
        <v>0</v>
      </c>
      <c r="M2" s="20">
        <f t="shared" si="0"/>
        <v>0</v>
      </c>
      <c r="N2" s="20">
        <f t="shared" si="0"/>
        <v>0</v>
      </c>
      <c r="O2" s="20">
        <f t="shared" si="0"/>
        <v>0</v>
      </c>
      <c r="P2" s="20">
        <f t="shared" si="0"/>
        <v>0</v>
      </c>
      <c r="Q2" s="21">
        <f t="shared" si="0"/>
        <v>0</v>
      </c>
      <c r="R2" s="16"/>
      <c r="S2" s="22" t="s">
        <v>27</v>
      </c>
      <c r="T2" s="23"/>
      <c r="U2" s="56"/>
      <c r="V2" s="9"/>
      <c r="W2" s="10"/>
      <c r="X2" s="10"/>
      <c r="Y2" s="10"/>
      <c r="Z2" s="10"/>
    </row>
    <row r="3" spans="1:26" ht="15.75" customHeight="1" thickTop="1" thickBot="1">
      <c r="A3" s="22"/>
      <c r="B3" s="24"/>
      <c r="C3" s="25"/>
      <c r="D3" s="175"/>
      <c r="E3" s="175"/>
      <c r="F3" s="175"/>
      <c r="G3" s="175"/>
      <c r="H3" s="27"/>
      <c r="I3" s="16"/>
      <c r="J3" s="17"/>
      <c r="K3" s="18"/>
      <c r="L3" s="28"/>
      <c r="M3" s="29"/>
      <c r="N3" s="29"/>
      <c r="O3" s="30"/>
      <c r="P3" s="31"/>
      <c r="Q3" s="32"/>
      <c r="R3" s="16"/>
      <c r="S3" s="22"/>
      <c r="T3" s="23"/>
      <c r="U3" s="56"/>
      <c r="V3" s="9"/>
      <c r="W3" s="10"/>
      <c r="X3" s="10"/>
      <c r="Y3" s="10"/>
      <c r="Z3" s="10"/>
    </row>
    <row r="4" spans="1:26" ht="15.75" customHeight="1" thickTop="1" thickBot="1">
      <c r="A4" s="11" t="s">
        <v>9</v>
      </c>
      <c r="B4" s="12"/>
      <c r="C4" s="13"/>
      <c r="D4" s="14">
        <f>D5*C4</f>
        <v>0</v>
      </c>
      <c r="E4" s="14">
        <f>E5*D4</f>
        <v>0</v>
      </c>
      <c r="F4" s="14">
        <f>F5*E4</f>
        <v>0</v>
      </c>
      <c r="G4" s="14">
        <f>G5*F4</f>
        <v>0</v>
      </c>
      <c r="H4" s="15">
        <f>H5*G4</f>
        <v>0</v>
      </c>
      <c r="I4" s="16"/>
      <c r="J4" s="17" t="s">
        <v>10</v>
      </c>
      <c r="K4" s="18"/>
      <c r="L4" s="33"/>
      <c r="M4" s="34">
        <f>L4*M5</f>
        <v>0</v>
      </c>
      <c r="N4" s="34">
        <f>M4*N5</f>
        <v>0</v>
      </c>
      <c r="O4" s="34">
        <f>N4*O5</f>
        <v>0</v>
      </c>
      <c r="P4" s="34">
        <f>O4*P5</f>
        <v>0</v>
      </c>
      <c r="Q4" s="35">
        <f>P4*Q5</f>
        <v>0</v>
      </c>
      <c r="R4" s="16"/>
      <c r="S4" s="22" t="s">
        <v>28</v>
      </c>
      <c r="T4" s="23"/>
      <c r="U4" s="163"/>
      <c r="V4" s="9"/>
      <c r="W4" s="10"/>
      <c r="X4" s="10"/>
      <c r="Y4" s="10"/>
      <c r="Z4" s="10"/>
    </row>
    <row r="5" spans="1:26" ht="15.75" customHeight="1" thickTop="1" thickBot="1">
      <c r="A5" s="22"/>
      <c r="B5" s="24"/>
      <c r="C5" s="25"/>
      <c r="D5" s="175"/>
      <c r="E5" s="175"/>
      <c r="F5" s="175"/>
      <c r="G5" s="175"/>
      <c r="H5" s="27"/>
      <c r="I5" s="16"/>
      <c r="J5" s="17"/>
      <c r="K5" s="18"/>
      <c r="L5" s="28"/>
      <c r="M5" s="175"/>
      <c r="N5" s="175"/>
      <c r="O5" s="175"/>
      <c r="P5" s="175"/>
      <c r="Q5" s="27"/>
      <c r="R5" s="16"/>
      <c r="S5" s="22"/>
      <c r="T5" s="23"/>
      <c r="U5" s="56"/>
      <c r="V5" s="9"/>
      <c r="W5" s="10"/>
      <c r="X5" s="10"/>
      <c r="Y5" s="10"/>
      <c r="Z5" s="10"/>
    </row>
    <row r="6" spans="1:26" ht="15.75" customHeight="1" thickTop="1" thickBot="1">
      <c r="A6" s="11" t="s">
        <v>11</v>
      </c>
      <c r="B6" s="12"/>
      <c r="C6" s="37">
        <f t="shared" ref="C6:H6" si="1">C2-C4</f>
        <v>0</v>
      </c>
      <c r="D6" s="14">
        <f t="shared" si="1"/>
        <v>0</v>
      </c>
      <c r="E6" s="14">
        <f t="shared" si="1"/>
        <v>0</v>
      </c>
      <c r="F6" s="14">
        <f t="shared" si="1"/>
        <v>0</v>
      </c>
      <c r="G6" s="14">
        <f t="shared" si="1"/>
        <v>0</v>
      </c>
      <c r="H6" s="15">
        <f t="shared" si="1"/>
        <v>0</v>
      </c>
      <c r="I6" s="16"/>
      <c r="J6" s="17" t="s">
        <v>12</v>
      </c>
      <c r="K6" s="18"/>
      <c r="L6" s="33"/>
      <c r="M6" s="34">
        <f>L6*M7</f>
        <v>0</v>
      </c>
      <c r="N6" s="34">
        <f>N7*M6</f>
        <v>0</v>
      </c>
      <c r="O6" s="34">
        <f>O7*N6</f>
        <v>0</v>
      </c>
      <c r="P6" s="34">
        <f>O6*P7</f>
        <v>0</v>
      </c>
      <c r="Q6" s="35">
        <f>P6*Q7</f>
        <v>0</v>
      </c>
      <c r="R6" s="16"/>
      <c r="S6" s="22" t="s">
        <v>29</v>
      </c>
      <c r="T6" s="23"/>
      <c r="U6" s="191"/>
      <c r="V6" s="9"/>
      <c r="W6" s="10"/>
      <c r="X6" s="10"/>
      <c r="Y6" s="10"/>
      <c r="Z6" s="10"/>
    </row>
    <row r="7" spans="1:26" ht="15.75" customHeight="1" thickTop="1" thickBot="1">
      <c r="A7" s="22"/>
      <c r="B7" s="24"/>
      <c r="C7" s="38"/>
      <c r="D7" s="39"/>
      <c r="E7" s="39"/>
      <c r="F7" s="39"/>
      <c r="G7" s="39"/>
      <c r="H7" s="40"/>
      <c r="I7" s="16"/>
      <c r="J7" s="17"/>
      <c r="K7" s="18"/>
      <c r="L7" s="28"/>
      <c r="M7" s="175"/>
      <c r="N7" s="175"/>
      <c r="O7" s="175"/>
      <c r="P7" s="175"/>
      <c r="Q7" s="27"/>
      <c r="R7" s="16"/>
      <c r="S7" s="22"/>
      <c r="T7" s="23"/>
      <c r="U7" s="56"/>
      <c r="V7" s="9"/>
      <c r="W7" s="10"/>
      <c r="X7" s="10"/>
      <c r="Y7" s="10"/>
      <c r="Z7" s="10"/>
    </row>
    <row r="8" spans="1:26" ht="15.75" customHeight="1" thickTop="1" thickBot="1">
      <c r="A8" s="11" t="s">
        <v>13</v>
      </c>
      <c r="B8" s="12"/>
      <c r="C8" s="79" t="e">
        <f t="shared" ref="C8:H8" si="2">C6/C2</f>
        <v>#DIV/0!</v>
      </c>
      <c r="D8" s="79" t="e">
        <f t="shared" si="2"/>
        <v>#DIV/0!</v>
      </c>
      <c r="E8" s="79" t="e">
        <f t="shared" si="2"/>
        <v>#DIV/0!</v>
      </c>
      <c r="F8" s="79" t="e">
        <f t="shared" si="2"/>
        <v>#DIV/0!</v>
      </c>
      <c r="G8" s="79" t="e">
        <f t="shared" si="2"/>
        <v>#DIV/0!</v>
      </c>
      <c r="H8" s="80" t="e">
        <f t="shared" si="2"/>
        <v>#DIV/0!</v>
      </c>
      <c r="I8" s="16"/>
      <c r="J8" s="17" t="s">
        <v>14</v>
      </c>
      <c r="K8" s="18"/>
      <c r="L8" s="44">
        <f t="shared" ref="L8:Q8" si="3">L2+L4+L6</f>
        <v>0</v>
      </c>
      <c r="M8" s="44">
        <f t="shared" si="3"/>
        <v>0</v>
      </c>
      <c r="N8" s="44">
        <f t="shared" si="3"/>
        <v>0</v>
      </c>
      <c r="O8" s="44">
        <f t="shared" si="3"/>
        <v>0</v>
      </c>
      <c r="P8" s="44">
        <f t="shared" si="3"/>
        <v>0</v>
      </c>
      <c r="Q8" s="45">
        <f t="shared" si="3"/>
        <v>0</v>
      </c>
      <c r="R8" s="16"/>
      <c r="S8" s="22" t="s">
        <v>30</v>
      </c>
      <c r="T8" s="23"/>
      <c r="U8" s="191"/>
      <c r="V8" s="9"/>
      <c r="W8" s="10"/>
      <c r="X8" s="10"/>
      <c r="Y8" s="10"/>
      <c r="Z8" s="10"/>
    </row>
    <row r="9" spans="1:26" ht="15.75" customHeight="1" thickTop="1" thickBot="1">
      <c r="A9" s="11"/>
      <c r="B9" s="12"/>
      <c r="C9" s="41"/>
      <c r="D9" s="42"/>
      <c r="E9" s="42"/>
      <c r="F9" s="42"/>
      <c r="G9" s="42"/>
      <c r="H9" s="43"/>
      <c r="I9" s="16"/>
      <c r="J9" s="17"/>
      <c r="K9" s="18"/>
      <c r="L9" s="28"/>
      <c r="M9" s="36"/>
      <c r="O9" s="46"/>
      <c r="P9" s="47"/>
      <c r="Q9" s="32"/>
      <c r="R9" s="16"/>
      <c r="S9" s="61"/>
      <c r="T9" s="62"/>
      <c r="U9" s="63"/>
      <c r="V9" s="9"/>
      <c r="W9" s="10"/>
      <c r="X9" s="10"/>
      <c r="Y9" s="10"/>
      <c r="Z9" s="10"/>
    </row>
    <row r="10" spans="1:26" ht="15.75" customHeight="1" thickTop="1" thickBot="1">
      <c r="A10" s="22" t="s">
        <v>16</v>
      </c>
      <c r="B10" s="24"/>
      <c r="C10" s="81"/>
      <c r="D10" s="26">
        <f>D11*C10</f>
        <v>0</v>
      </c>
      <c r="E10" s="26">
        <f>E11*D10</f>
        <v>0</v>
      </c>
      <c r="F10" s="26">
        <f>F11*E10</f>
        <v>0</v>
      </c>
      <c r="G10" s="26">
        <f>G11*F10</f>
        <v>0</v>
      </c>
      <c r="H10" s="27">
        <f>G10*H11</f>
        <v>0</v>
      </c>
      <c r="I10" s="16"/>
      <c r="J10" s="17" t="s">
        <v>17</v>
      </c>
      <c r="K10" s="18"/>
      <c r="L10" s="48"/>
      <c r="M10" s="34">
        <f>L10*M11</f>
        <v>0</v>
      </c>
      <c r="N10" s="34">
        <f>N11*M10</f>
        <v>0</v>
      </c>
      <c r="O10" s="34">
        <f>O11*N10</f>
        <v>0</v>
      </c>
      <c r="P10" s="34">
        <f>P11*O10</f>
        <v>0</v>
      </c>
      <c r="Q10" s="35">
        <f>Q11*P10</f>
        <v>0</v>
      </c>
      <c r="R10" s="16"/>
      <c r="S10" s="51" t="s">
        <v>26</v>
      </c>
      <c r="T10" s="52"/>
      <c r="U10" s="174"/>
      <c r="V10" s="9"/>
      <c r="W10" s="10"/>
      <c r="X10" s="10"/>
      <c r="Y10" s="10"/>
      <c r="Z10" s="10"/>
    </row>
    <row r="11" spans="1:26" ht="15.75" customHeight="1" thickTop="1" thickBot="1">
      <c r="A11" s="11"/>
      <c r="B11" s="12"/>
      <c r="C11" s="13"/>
      <c r="D11" s="175"/>
      <c r="E11" s="175"/>
      <c r="F11" s="175"/>
      <c r="G11" s="175"/>
      <c r="H11" s="27"/>
      <c r="I11" s="16"/>
      <c r="J11" s="17"/>
      <c r="K11" s="18"/>
      <c r="L11" s="28"/>
      <c r="M11" s="175"/>
      <c r="N11" s="175"/>
      <c r="O11" s="175"/>
      <c r="P11" s="175"/>
      <c r="Q11" s="27"/>
      <c r="R11" s="16"/>
      <c r="S11" s="23"/>
      <c r="T11" s="23"/>
      <c r="U11" s="23"/>
      <c r="V11" s="9"/>
      <c r="W11" s="10"/>
      <c r="X11" s="10"/>
      <c r="Y11" s="10"/>
      <c r="Z11" s="10"/>
    </row>
    <row r="12" spans="1:26" ht="15.75" customHeight="1" thickTop="1" thickBot="1">
      <c r="A12" s="22" t="s">
        <v>18</v>
      </c>
      <c r="B12" s="24"/>
      <c r="C12" s="13">
        <f t="shared" ref="C12:H12" si="4">C6-C10</f>
        <v>0</v>
      </c>
      <c r="D12" s="49">
        <f t="shared" si="4"/>
        <v>0</v>
      </c>
      <c r="E12" s="49">
        <f t="shared" si="4"/>
        <v>0</v>
      </c>
      <c r="F12" s="49">
        <f t="shared" si="4"/>
        <v>0</v>
      </c>
      <c r="G12" s="49">
        <f t="shared" si="4"/>
        <v>0</v>
      </c>
      <c r="H12" s="50">
        <f t="shared" si="4"/>
        <v>0</v>
      </c>
      <c r="I12" s="16"/>
      <c r="J12" s="17" t="s">
        <v>43</v>
      </c>
      <c r="K12" s="18"/>
      <c r="L12" s="44"/>
      <c r="M12" s="44">
        <f>M8+M10</f>
        <v>0</v>
      </c>
      <c r="N12" s="44">
        <f>N8+N10</f>
        <v>0</v>
      </c>
      <c r="O12" s="44">
        <f>O8+O10</f>
        <v>0</v>
      </c>
      <c r="P12" s="44">
        <f>P8+P10</f>
        <v>0</v>
      </c>
      <c r="Q12" s="45">
        <f>Q8+Q10</f>
        <v>0</v>
      </c>
      <c r="R12" s="16"/>
      <c r="S12" s="1" t="s">
        <v>36</v>
      </c>
      <c r="T12" s="138"/>
      <c r="U12" s="5"/>
      <c r="V12" s="9"/>
      <c r="W12" s="10"/>
      <c r="X12" s="10"/>
      <c r="Y12" s="10"/>
      <c r="Z12" s="10"/>
    </row>
    <row r="13" spans="1:26" ht="15.75" customHeight="1" thickTop="1" thickBot="1">
      <c r="A13" s="11"/>
      <c r="B13" s="12"/>
      <c r="C13" s="13"/>
      <c r="D13" s="49"/>
      <c r="E13" s="49"/>
      <c r="F13" s="49"/>
      <c r="G13" s="49"/>
      <c r="H13" s="50"/>
      <c r="I13" s="16"/>
      <c r="J13" s="102"/>
      <c r="K13" s="99"/>
      <c r="L13" s="103"/>
      <c r="M13" s="104"/>
      <c r="N13" s="104"/>
      <c r="O13" s="105"/>
      <c r="P13" s="106"/>
      <c r="Q13" s="107"/>
      <c r="R13" s="53"/>
      <c r="S13" s="98" t="s">
        <v>37</v>
      </c>
      <c r="T13" s="69"/>
      <c r="U13" s="161">
        <f>SUM(M18:Q20)</f>
        <v>0</v>
      </c>
      <c r="V13" s="10"/>
      <c r="W13" s="10"/>
      <c r="X13" s="10"/>
      <c r="Y13" s="10"/>
      <c r="Z13" s="10"/>
    </row>
    <row r="14" spans="1:26" ht="15.75" customHeight="1" thickTop="1" thickBot="1">
      <c r="A14" s="22" t="s">
        <v>19</v>
      </c>
      <c r="B14" s="24"/>
      <c r="C14" s="25" t="e">
        <f t="shared" ref="C14:H14" si="5">C12/C2</f>
        <v>#DIV/0!</v>
      </c>
      <c r="D14" s="25" t="e">
        <f t="shared" si="5"/>
        <v>#DIV/0!</v>
      </c>
      <c r="E14" s="25" t="e">
        <f t="shared" si="5"/>
        <v>#DIV/0!</v>
      </c>
      <c r="F14" s="25" t="e">
        <f t="shared" si="5"/>
        <v>#DIV/0!</v>
      </c>
      <c r="G14" s="25" t="e">
        <f t="shared" si="5"/>
        <v>#DIV/0!</v>
      </c>
      <c r="H14" s="40" t="e">
        <f t="shared" si="5"/>
        <v>#DIV/0!</v>
      </c>
      <c r="I14" s="16"/>
      <c r="J14" s="120"/>
      <c r="K14" s="132"/>
      <c r="L14" s="133"/>
      <c r="M14" s="134"/>
      <c r="N14" s="134"/>
      <c r="O14" s="134"/>
      <c r="P14" s="134"/>
      <c r="Q14" s="135"/>
      <c r="R14" s="16"/>
      <c r="S14" s="98"/>
      <c r="T14" s="69"/>
      <c r="U14" s="116"/>
      <c r="V14" s="9"/>
      <c r="W14" s="10"/>
      <c r="X14" s="10"/>
      <c r="Y14" s="10"/>
      <c r="Z14" s="10"/>
    </row>
    <row r="15" spans="1:26" ht="15.75" customHeight="1" thickTop="1" thickBot="1">
      <c r="A15" s="22"/>
      <c r="B15" s="24"/>
      <c r="C15" s="25"/>
      <c r="D15" s="39"/>
      <c r="E15" s="39"/>
      <c r="F15" s="39"/>
      <c r="G15" s="39"/>
      <c r="H15" s="40"/>
      <c r="I15" s="16"/>
      <c r="J15" s="1" t="s">
        <v>32</v>
      </c>
      <c r="K15" s="138"/>
      <c r="L15" s="138"/>
      <c r="M15" s="4">
        <v>25</v>
      </c>
      <c r="N15" s="4">
        <v>26</v>
      </c>
      <c r="O15" s="4">
        <v>27</v>
      </c>
      <c r="P15" s="4">
        <v>28</v>
      </c>
      <c r="Q15" s="5">
        <v>29</v>
      </c>
      <c r="R15" s="16"/>
      <c r="S15" s="98" t="s">
        <v>38</v>
      </c>
      <c r="T15" s="69"/>
      <c r="U15" s="24"/>
      <c r="V15" s="9"/>
      <c r="W15" s="10"/>
      <c r="X15" s="10"/>
      <c r="Y15" s="10"/>
      <c r="Z15" s="10"/>
    </row>
    <row r="16" spans="1:26" ht="15.75" customHeight="1" thickTop="1" thickBot="1">
      <c r="A16" s="11" t="s">
        <v>21</v>
      </c>
      <c r="B16" s="12"/>
      <c r="C16" s="13"/>
      <c r="D16" s="13">
        <f>D17*C16</f>
        <v>0</v>
      </c>
      <c r="E16" s="13">
        <f>D16*E17</f>
        <v>0</v>
      </c>
      <c r="F16" s="13">
        <f>E16*F17</f>
        <v>0</v>
      </c>
      <c r="G16" s="13">
        <f>F16*G17</f>
        <v>0</v>
      </c>
      <c r="H16" s="50">
        <v>0</v>
      </c>
      <c r="I16" s="16"/>
      <c r="J16" s="141" t="s">
        <v>33</v>
      </c>
      <c r="K16" s="121"/>
      <c r="L16" s="121"/>
      <c r="M16" s="155"/>
      <c r="N16" s="100"/>
      <c r="O16" s="100"/>
      <c r="P16" s="101"/>
      <c r="Q16" s="156"/>
      <c r="R16" s="16"/>
      <c r="S16" s="98"/>
      <c r="T16" s="69"/>
      <c r="U16" s="116"/>
      <c r="V16" s="9"/>
      <c r="W16" s="10"/>
      <c r="X16" s="10"/>
      <c r="Y16" s="10"/>
      <c r="Z16" s="10"/>
    </row>
    <row r="17" spans="1:26" ht="15.75" customHeight="1" thickTop="1" thickBot="1">
      <c r="A17" s="22"/>
      <c r="B17" s="24"/>
      <c r="C17" s="38"/>
      <c r="D17" s="26"/>
      <c r="E17" s="26"/>
      <c r="F17" s="26"/>
      <c r="G17" s="26"/>
      <c r="H17" s="27"/>
      <c r="I17" s="16"/>
      <c r="J17" s="142"/>
      <c r="K17" s="109"/>
      <c r="L17" s="108"/>
      <c r="M17" s="109"/>
      <c r="N17" s="109"/>
      <c r="O17" s="110"/>
      <c r="P17" s="111"/>
      <c r="Q17" s="143"/>
      <c r="R17" s="16"/>
      <c r="S17" s="98" t="s">
        <v>39</v>
      </c>
      <c r="T17" s="69"/>
      <c r="U17" s="24"/>
      <c r="V17" s="9"/>
      <c r="W17" s="10"/>
      <c r="X17" s="10"/>
      <c r="Y17" s="10"/>
      <c r="Z17" s="10"/>
    </row>
    <row r="18" spans="1:26" ht="15.75" customHeight="1" thickTop="1" thickBot="1">
      <c r="A18" s="22" t="s">
        <v>22</v>
      </c>
      <c r="B18" s="24"/>
      <c r="C18" s="57" t="s">
        <v>23</v>
      </c>
      <c r="D18" s="26" t="s">
        <v>23</v>
      </c>
      <c r="E18" s="26" t="s">
        <v>23</v>
      </c>
      <c r="F18" s="26" t="s">
        <v>23</v>
      </c>
      <c r="G18" s="26" t="s">
        <v>23</v>
      </c>
      <c r="H18" s="27" t="s">
        <v>23</v>
      </c>
      <c r="I18" s="16"/>
      <c r="J18" s="144" t="s">
        <v>34</v>
      </c>
      <c r="K18" s="118"/>
      <c r="L18" s="119"/>
      <c r="M18" s="157"/>
      <c r="N18" s="158"/>
      <c r="O18" s="158"/>
      <c r="P18" s="158"/>
      <c r="Q18" s="159"/>
      <c r="R18" s="16"/>
      <c r="S18" s="98"/>
      <c r="T18" s="69"/>
      <c r="U18" s="116"/>
      <c r="V18" s="9"/>
      <c r="W18" s="10"/>
      <c r="X18" s="10"/>
      <c r="Y18" s="10"/>
      <c r="Z18" s="10"/>
    </row>
    <row r="19" spans="1:26" ht="15.75" customHeight="1" thickTop="1" thickBot="1">
      <c r="A19" s="11" t="s">
        <v>24</v>
      </c>
      <c r="B19" s="12"/>
      <c r="C19" s="37">
        <f>C12+C16</f>
        <v>0</v>
      </c>
      <c r="D19" s="37">
        <f>D12+D16</f>
        <v>0</v>
      </c>
      <c r="E19" s="37">
        <f>E12+E16</f>
        <v>0</v>
      </c>
      <c r="F19" s="37">
        <f>F12+F16</f>
        <v>0</v>
      </c>
      <c r="G19" s="37">
        <f>G12+G16</f>
        <v>0</v>
      </c>
      <c r="H19" s="15">
        <f>H16+H12</f>
        <v>0</v>
      </c>
      <c r="I19" s="16"/>
      <c r="J19" s="145"/>
      <c r="K19" s="122"/>
      <c r="L19" s="108"/>
      <c r="M19" s="109"/>
      <c r="N19" s="109"/>
      <c r="O19" s="110"/>
      <c r="P19" s="111"/>
      <c r="Q19" s="143"/>
      <c r="R19" s="16"/>
      <c r="S19" s="98" t="s">
        <v>36</v>
      </c>
      <c r="T19" s="69"/>
      <c r="U19" s="161">
        <f>U13+U15-U17</f>
        <v>0</v>
      </c>
      <c r="V19" s="9"/>
      <c r="W19" s="10"/>
      <c r="X19" s="10"/>
      <c r="Y19" s="10"/>
      <c r="Z19" s="10"/>
    </row>
    <row r="20" spans="1:26" ht="15.75" customHeight="1" thickTop="1" thickBot="1">
      <c r="A20" s="22"/>
      <c r="B20" s="24"/>
      <c r="C20" s="13"/>
      <c r="D20" s="58"/>
      <c r="E20" s="58"/>
      <c r="F20" s="58"/>
      <c r="G20" s="58"/>
      <c r="H20" s="59"/>
      <c r="I20" s="16"/>
      <c r="J20" s="115" t="s">
        <v>35</v>
      </c>
      <c r="K20" s="123"/>
      <c r="L20" s="112"/>
      <c r="M20" s="64"/>
      <c r="N20" s="64"/>
      <c r="O20" s="65"/>
      <c r="P20" s="66"/>
      <c r="Q20" s="160"/>
      <c r="R20" s="16"/>
      <c r="S20" s="98"/>
      <c r="T20" s="69"/>
      <c r="U20" s="116"/>
      <c r="V20" s="9"/>
      <c r="W20" s="10"/>
      <c r="X20" s="10"/>
      <c r="Y20" s="10"/>
      <c r="Z20" s="10"/>
    </row>
    <row r="21" spans="1:26" ht="15.75" customHeight="1" thickTop="1" thickBot="1">
      <c r="A21" s="11" t="s">
        <v>25</v>
      </c>
      <c r="B21" s="12"/>
      <c r="C21" s="37"/>
      <c r="D21" s="37">
        <f t="shared" ref="D21:H21" si="6">D19*D22</f>
        <v>0</v>
      </c>
      <c r="E21" s="37">
        <f t="shared" si="6"/>
        <v>0</v>
      </c>
      <c r="F21" s="37">
        <f t="shared" si="6"/>
        <v>0</v>
      </c>
      <c r="G21" s="37">
        <f t="shared" si="6"/>
        <v>0</v>
      </c>
      <c r="H21" s="15">
        <f t="shared" si="6"/>
        <v>0</v>
      </c>
      <c r="I21" s="16"/>
      <c r="J21" s="117"/>
      <c r="K21" s="146"/>
      <c r="L21" s="147"/>
      <c r="M21" s="148"/>
      <c r="N21" s="148"/>
      <c r="O21" s="149"/>
      <c r="P21" s="150"/>
      <c r="Q21" s="151"/>
      <c r="R21" s="16"/>
      <c r="S21" s="98" t="s">
        <v>15</v>
      </c>
      <c r="T21" s="69"/>
      <c r="U21" s="178"/>
      <c r="V21" s="9"/>
      <c r="W21" s="10"/>
      <c r="X21" s="10"/>
      <c r="Y21" s="10"/>
      <c r="Z21" s="10"/>
    </row>
    <row r="22" spans="1:26" ht="15.75" customHeight="1" thickTop="1" thickBot="1">
      <c r="A22" s="22"/>
      <c r="B22" s="24"/>
      <c r="C22" s="57"/>
      <c r="D22" s="57"/>
      <c r="E22" s="57"/>
      <c r="F22" s="57"/>
      <c r="G22" s="57"/>
      <c r="H22" s="60"/>
      <c r="I22" s="16"/>
      <c r="J22" s="88"/>
      <c r="K22" s="88"/>
      <c r="L22" s="88"/>
      <c r="M22" s="88"/>
      <c r="N22" s="88"/>
      <c r="O22" s="88"/>
      <c r="P22" s="88"/>
      <c r="Q22" s="88"/>
      <c r="R22" s="88"/>
      <c r="S22" s="98"/>
      <c r="T22" s="69"/>
      <c r="U22" s="116"/>
      <c r="V22" s="9"/>
      <c r="W22" s="10"/>
      <c r="X22" s="10"/>
      <c r="Y22" s="10"/>
      <c r="Z22" s="10"/>
    </row>
    <row r="23" spans="1:26" ht="15.75" customHeight="1" thickTop="1" thickBot="1">
      <c r="A23" s="83" t="s">
        <v>41</v>
      </c>
      <c r="B23" s="84"/>
      <c r="C23" s="85">
        <f t="shared" ref="C23:H23" si="7">C19-C21</f>
        <v>0</v>
      </c>
      <c r="D23" s="85">
        <f t="shared" si="7"/>
        <v>0</v>
      </c>
      <c r="E23" s="85">
        <f t="shared" si="7"/>
        <v>0</v>
      </c>
      <c r="F23" s="85">
        <f t="shared" si="7"/>
        <v>0</v>
      </c>
      <c r="G23" s="85">
        <f t="shared" si="7"/>
        <v>0</v>
      </c>
      <c r="H23" s="86">
        <f t="shared" si="7"/>
        <v>0</v>
      </c>
      <c r="I23" s="16"/>
      <c r="J23" s="1" t="s">
        <v>31</v>
      </c>
      <c r="K23" s="136"/>
      <c r="L23" s="72"/>
      <c r="M23" s="72"/>
      <c r="N23" s="72"/>
      <c r="O23" s="72"/>
      <c r="P23" s="72"/>
      <c r="Q23" s="72"/>
      <c r="R23" s="72"/>
      <c r="S23" s="117" t="s">
        <v>40</v>
      </c>
      <c r="T23" s="148"/>
      <c r="U23" s="162" t="e">
        <f>U19/U21</f>
        <v>#DIV/0!</v>
      </c>
      <c r="V23" s="9"/>
      <c r="W23" s="10"/>
      <c r="X23" s="10"/>
      <c r="Y23" s="10"/>
      <c r="Z23" s="10"/>
    </row>
    <row r="24" spans="1:26" ht="15.75" customHeight="1" thickTop="1" thickBot="1">
      <c r="A24" s="89"/>
      <c r="B24" s="92"/>
      <c r="C24" s="91"/>
      <c r="D24" s="87"/>
      <c r="E24" s="87"/>
      <c r="F24" s="87"/>
      <c r="G24" s="87"/>
      <c r="H24" s="90"/>
      <c r="I24" s="16"/>
      <c r="J24" s="153" t="s">
        <v>45</v>
      </c>
      <c r="K24" s="154"/>
      <c r="L24" s="75"/>
      <c r="M24" s="75"/>
      <c r="N24" s="75"/>
      <c r="O24" s="75"/>
      <c r="P24" s="75"/>
      <c r="Q24" s="75"/>
      <c r="R24" s="75"/>
      <c r="S24" s="66"/>
      <c r="U24" s="66"/>
      <c r="V24" s="10"/>
      <c r="W24" s="10"/>
      <c r="X24" s="10"/>
      <c r="Y24" s="10"/>
      <c r="Z24" s="10"/>
    </row>
    <row r="25" spans="1:26" ht="17" thickTop="1" thickBot="1">
      <c r="A25" s="164" t="s">
        <v>42</v>
      </c>
      <c r="B25" s="165"/>
      <c r="C25" s="166"/>
      <c r="D25" s="167"/>
      <c r="E25" s="167"/>
      <c r="F25" s="167"/>
      <c r="G25" s="167"/>
      <c r="H25" s="168"/>
      <c r="I25" s="67"/>
      <c r="J25" s="190"/>
      <c r="K25" s="137"/>
      <c r="L25" s="68"/>
      <c r="M25" s="189"/>
      <c r="N25" s="68"/>
      <c r="O25" s="68"/>
      <c r="P25" s="68"/>
      <c r="Q25" s="68"/>
      <c r="R25" s="68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thickTop="1" thickBot="1">
      <c r="A26" s="169"/>
      <c r="B26" s="170"/>
      <c r="C26" s="171"/>
      <c r="D26" s="172"/>
      <c r="E26" s="172"/>
      <c r="F26" s="172"/>
      <c r="G26" s="172"/>
      <c r="H26" s="173"/>
      <c r="I26" s="67"/>
      <c r="J26" s="139"/>
      <c r="K26" s="140"/>
      <c r="L26" s="75"/>
      <c r="M26" s="75"/>
      <c r="N26" s="75"/>
      <c r="O26" s="75"/>
      <c r="P26" s="75"/>
      <c r="Q26" s="75"/>
      <c r="R26" s="75"/>
      <c r="S26" s="10"/>
      <c r="T26" s="10"/>
      <c r="U26" s="10"/>
      <c r="V26" s="10"/>
      <c r="W26" s="10"/>
      <c r="X26" s="10"/>
      <c r="Y26" s="10"/>
      <c r="Z26" s="10"/>
    </row>
    <row r="27" spans="1:26" ht="17" thickTop="1" thickBot="1">
      <c r="A27" s="179" t="s">
        <v>8</v>
      </c>
      <c r="B27" s="180"/>
      <c r="C27" s="181">
        <f t="shared" ref="C27:H27" si="8">C23-C25</f>
        <v>0</v>
      </c>
      <c r="D27" s="182">
        <f t="shared" si="8"/>
        <v>0</v>
      </c>
      <c r="E27" s="182">
        <f t="shared" si="8"/>
        <v>0</v>
      </c>
      <c r="F27" s="182">
        <f t="shared" si="8"/>
        <v>0</v>
      </c>
      <c r="G27" s="182">
        <f t="shared" si="8"/>
        <v>0</v>
      </c>
      <c r="H27" s="183">
        <f t="shared" si="8"/>
        <v>0</v>
      </c>
      <c r="I27" s="67"/>
      <c r="J27" s="189" t="s">
        <v>44</v>
      </c>
      <c r="K27" s="88"/>
      <c r="L27" s="68"/>
      <c r="M27" s="177"/>
      <c r="N27" s="68"/>
      <c r="O27" s="68"/>
      <c r="P27" s="68"/>
      <c r="Q27" s="68"/>
      <c r="R27" s="68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thickTop="1" thickBot="1">
      <c r="A28" s="184"/>
      <c r="B28" s="185"/>
      <c r="C28" s="186"/>
      <c r="D28" s="187"/>
      <c r="E28" s="187"/>
      <c r="F28" s="187"/>
      <c r="G28" s="187"/>
      <c r="H28" s="188"/>
      <c r="I28" s="67"/>
      <c r="J28" s="72"/>
      <c r="K28" s="72"/>
      <c r="L28" s="77"/>
      <c r="M28" s="77"/>
      <c r="N28" s="77"/>
      <c r="O28" s="176"/>
      <c r="P28" s="77"/>
      <c r="Q28" s="77"/>
      <c r="R28" s="77"/>
      <c r="S28" s="10"/>
      <c r="T28" s="10"/>
      <c r="U28" s="10"/>
      <c r="V28" s="10"/>
      <c r="W28" s="10"/>
      <c r="X28" s="10"/>
      <c r="Y28" s="10"/>
      <c r="Z28" s="10"/>
    </row>
    <row r="29" spans="1:26" ht="17" thickTop="1" thickBot="1">
      <c r="A29" s="96"/>
      <c r="B29" s="97"/>
      <c r="C29" s="88"/>
      <c r="D29" s="88"/>
      <c r="E29" s="88"/>
      <c r="F29" s="88"/>
      <c r="G29" s="88"/>
      <c r="H29" s="88"/>
      <c r="I29" s="71"/>
      <c r="J29" s="75"/>
      <c r="K29" s="75"/>
      <c r="L29" s="68"/>
      <c r="M29" s="68"/>
      <c r="N29" s="68"/>
      <c r="O29" s="68"/>
      <c r="P29" s="68"/>
      <c r="Q29" s="68"/>
      <c r="R29" s="68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thickTop="1" thickBot="1">
      <c r="A30" s="125"/>
      <c r="B30" s="126"/>
      <c r="C30" s="93"/>
      <c r="D30" s="72"/>
      <c r="E30" s="72"/>
      <c r="F30" s="72"/>
      <c r="G30" s="72"/>
      <c r="H30" s="72"/>
      <c r="I30" s="152"/>
      <c r="J30" s="68"/>
      <c r="K30" s="68"/>
      <c r="L30" s="78"/>
      <c r="M30" s="78"/>
      <c r="N30" s="78"/>
      <c r="O30" s="78"/>
      <c r="P30" s="78"/>
      <c r="Q30" s="78"/>
      <c r="R30" s="78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thickTop="1" thickBot="1">
      <c r="A31" s="127"/>
      <c r="B31" s="128"/>
      <c r="C31" s="94"/>
      <c r="D31" s="75"/>
      <c r="E31" s="75"/>
      <c r="F31" s="75"/>
      <c r="G31" s="75"/>
      <c r="H31" s="75"/>
      <c r="I31" s="152"/>
      <c r="J31" s="75"/>
      <c r="K31" s="75"/>
      <c r="L31" s="68"/>
      <c r="M31" s="68"/>
      <c r="N31" s="68"/>
      <c r="O31" s="68"/>
      <c r="P31" s="68"/>
      <c r="Q31" s="68"/>
      <c r="R31" s="68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thickTop="1" thickBot="1">
      <c r="A32" s="124"/>
      <c r="B32" s="129"/>
      <c r="C32" s="95"/>
      <c r="D32" s="68"/>
      <c r="E32" s="68"/>
      <c r="F32" s="68"/>
      <c r="G32" s="68"/>
      <c r="H32" s="76"/>
      <c r="I32" s="152"/>
      <c r="J32" s="68"/>
      <c r="K32" s="68"/>
      <c r="L32" s="68"/>
      <c r="M32" s="68"/>
      <c r="N32" s="68"/>
      <c r="O32" s="68"/>
      <c r="P32" s="68"/>
      <c r="Q32" s="68"/>
      <c r="R32" s="68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thickTop="1" thickBot="1">
      <c r="A33" s="130"/>
      <c r="B33" s="131"/>
      <c r="C33" s="94"/>
      <c r="D33" s="75"/>
      <c r="E33" s="75"/>
      <c r="F33" s="75"/>
      <c r="G33" s="75"/>
      <c r="H33" s="75"/>
      <c r="I33" s="152"/>
      <c r="J33" s="77"/>
      <c r="K33" s="77"/>
      <c r="L33" s="68"/>
      <c r="M33" s="68"/>
      <c r="N33" s="68"/>
      <c r="O33" s="68"/>
      <c r="P33" s="68"/>
      <c r="Q33" s="68"/>
      <c r="R33" s="68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thickTop="1" thickBot="1">
      <c r="A34" s="72"/>
      <c r="B34" s="72"/>
      <c r="C34" s="74"/>
      <c r="D34" s="68"/>
      <c r="E34" s="68"/>
      <c r="F34" s="68"/>
      <c r="G34" s="68"/>
      <c r="H34" s="74"/>
      <c r="I34" s="152"/>
      <c r="J34" s="68"/>
      <c r="K34" s="68"/>
      <c r="L34" s="68"/>
      <c r="M34" s="68"/>
      <c r="N34" s="68"/>
      <c r="O34" s="68"/>
      <c r="P34" s="68"/>
      <c r="Q34" s="68"/>
      <c r="R34" s="68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thickTop="1" thickBot="1">
      <c r="A35" s="73"/>
      <c r="B35" s="74"/>
      <c r="C35" s="74"/>
      <c r="D35" s="77"/>
      <c r="E35" s="77"/>
      <c r="F35" s="77"/>
      <c r="G35" s="77"/>
      <c r="H35" s="77"/>
      <c r="I35" s="152"/>
      <c r="J35" s="78"/>
      <c r="K35" s="78"/>
      <c r="L35" s="78"/>
      <c r="M35" s="113"/>
      <c r="N35" s="78"/>
      <c r="O35" s="78"/>
      <c r="P35" s="78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thickTop="1" thickBot="1">
      <c r="A36" s="68"/>
      <c r="B36" s="68"/>
      <c r="C36" s="74"/>
      <c r="D36" s="68"/>
      <c r="E36" s="68"/>
      <c r="F36" s="68"/>
      <c r="G36" s="68"/>
      <c r="H36" s="68"/>
      <c r="I36" s="152"/>
      <c r="J36" s="68"/>
      <c r="K36" s="68"/>
      <c r="L36" s="68"/>
      <c r="M36" s="113"/>
      <c r="N36" s="68"/>
      <c r="O36" s="68"/>
      <c r="P36" s="68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thickTop="1" thickBot="1">
      <c r="A37" s="73"/>
      <c r="B37" s="74"/>
      <c r="C37" s="78"/>
      <c r="D37" s="78"/>
      <c r="E37" s="78"/>
      <c r="F37" s="152"/>
      <c r="G37" s="78"/>
      <c r="H37" s="78"/>
      <c r="I37" s="152"/>
      <c r="J37" s="68"/>
      <c r="K37" s="68"/>
      <c r="L37" s="68"/>
      <c r="M37" s="113"/>
      <c r="N37" s="68"/>
      <c r="O37" s="68"/>
      <c r="P37" s="68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thickTop="1" thickBot="1">
      <c r="A38" s="68"/>
      <c r="B38" s="68"/>
      <c r="C38" s="68"/>
      <c r="D38" s="68"/>
      <c r="E38" s="68"/>
      <c r="F38" s="68"/>
      <c r="G38" s="68"/>
      <c r="H38" s="68"/>
      <c r="I38" s="152"/>
      <c r="J38" s="68"/>
      <c r="K38" s="68"/>
      <c r="L38" s="68"/>
      <c r="M38" s="113"/>
      <c r="N38" s="68"/>
      <c r="O38" s="68"/>
      <c r="P38" s="68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thickTop="1" thickBot="1">
      <c r="A39" s="68"/>
      <c r="B39" s="68"/>
      <c r="C39" s="68"/>
      <c r="D39" s="68"/>
      <c r="E39" s="68"/>
      <c r="F39" s="68"/>
      <c r="G39" s="68"/>
      <c r="H39" s="68"/>
      <c r="I39" s="68"/>
      <c r="J39" s="72"/>
      <c r="K39" s="114"/>
      <c r="L39" s="114"/>
      <c r="M39" s="69"/>
      <c r="N39" s="69"/>
      <c r="O39" s="7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9"/>
      <c r="L40" s="69"/>
      <c r="M40" s="69"/>
      <c r="N40" s="69"/>
      <c r="O40" s="7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7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7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7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7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7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7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7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7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7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7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7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7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7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7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7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7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7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7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7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7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7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7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7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7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7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7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7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7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7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7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7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7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7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7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7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7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7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7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7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7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7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7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7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7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7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7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7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7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7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7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7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</row>
    <row r="93" spans="1:26" ht="1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</row>
    <row r="94" spans="1:26" ht="1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</row>
    <row r="95" spans="1:26" ht="1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</row>
    <row r="96" spans="1:26" ht="1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</row>
    <row r="97" spans="1:15" ht="1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</row>
    <row r="98" spans="1:15" ht="1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</row>
    <row r="99" spans="1:15" ht="1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</row>
    <row r="100" spans="1:15" ht="1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</row>
    <row r="101" spans="1:15" ht="1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</row>
    <row r="102" spans="1:15" ht="1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</row>
    <row r="103" spans="1:15" ht="1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</row>
    <row r="104" spans="1:15" ht="1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</row>
    <row r="105" spans="1:15" ht="1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</row>
    <row r="1048575" spans="21:21" ht="15.75" customHeight="1" thickBot="1"/>
    <row r="1048576" spans="21:21" ht="15.75" customHeight="1" thickTop="1" thickBot="1">
      <c r="U104857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Fahad, Hamza</cp:lastModifiedBy>
  <dcterms:modified xsi:type="dcterms:W3CDTF">2025-11-16T20:25:15Z</dcterms:modified>
</cp:coreProperties>
</file>